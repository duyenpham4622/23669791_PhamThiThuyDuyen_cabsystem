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Scenario - CAB System"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<sst xmlns="http://schemas.openxmlformats.org/spreadsheetml/2006/main" count="226" uniqueCount="183">
  <si>
    <t xml:space="preserve">KỊCH BẢN KIỂM THỬ (TEST SCENARIO) - HỆ THỐNG CAB SYSTEM</t>
  </si>
  <si>
    <t xml:space="preserve">20 Test Case - Bao quat 50 tieu chi kiem thu - Ap dung 5 loai dieu kien bat buoc: 1) Positive  2) Negative  3) Boundary Value  4) Missing Data  5) Error Data</t>
  </si>
  <si>
    <t xml:space="preserve">Nguon: SRS - duyenpham4622/23669791_PhamThiThuyDuyen_cabsystem (srs.md)</t>
  </si>
  <si>
    <t xml:space="preserve">TC ID</t>
  </si>
  <si>
    <t xml:space="preserve">Module / Chức năng</t>
  </si>
  <si>
    <t xml:space="preserve">Loại kiểm tra
(1 trong 5 loại bắt buộc)</t>
  </si>
  <si>
    <t xml:space="preserve">Yêu cầu liên quan
(FR/BR/NFR/EX/AC)</t>
  </si>
  <si>
    <t xml:space="preserve">Mức độ
ưu tiên</t>
  </si>
  <si>
    <t xml:space="preserve">Điều kiện tiên quyết</t>
  </si>
  <si>
    <t xml:space="preserve">Bước thực hiện</t>
  </si>
  <si>
    <t xml:space="preserve">Dữ liệu kiểm thử (Test Data)</t>
  </si>
  <si>
    <t xml:space="preserve">Kết quả mong đợi (Expected Result)</t>
  </si>
  <si>
    <t xml:space="preserve">Tiêu chí kiểm tra được bao quát (phân tách bằng ";")</t>
  </si>
  <si>
    <t xml:space="preserve">Số tiêu chí</t>
  </si>
  <si>
    <t xml:space="preserve">TC-01</t>
  </si>
  <si>
    <t xml:space="preserve">Quản lý tài khoản - Đăng ký khách hàng</t>
  </si>
  <si>
    <t xml:space="preserve">Positive</t>
  </si>
  <si>
    <t xml:space="preserve">FR-01; BR-01; NFR-20</t>
  </si>
  <si>
    <t xml:space="preserve">High</t>
  </si>
  <si>
    <t xml:space="preserve">Chưa tồn tại tài khoản với SĐT/Email nhập vào.</t>
  </si>
  <si>
    <t xml:space="preserve">1. Truy cập màn hình Đăng ký.
2. Nhập đầy đủ Họ tên, SĐT, Email, Mật khẩu hợp lệ.
3. Nhấn 'Đăng ký'.</t>
  </si>
  <si>
    <t xml:space="preserve">Họ tên: Nguyen Van A; SĐT: 0912345678; Email: a@example.com; Password: Abc@12345</t>
  </si>
  <si>
    <t xml:space="preserve">Tài khoản được tạo thành công, hệ thống hiển thị thông báo đăng ký thành công và chuyển hướng đăng nhập.</t>
  </si>
  <si>
    <t xml:space="preserve">Tài khoản mới được lưu đầy đủ thông tin vào hệ thống; Thông báo đăng ký thành công hiển thị đúng</t>
  </si>
  <si>
    <t xml:space="preserve">TC-02</t>
  </si>
  <si>
    <t xml:space="preserve">Quản lý tài khoản - Đăng ký trùng dữ liệu</t>
  </si>
  <si>
    <t xml:space="preserve">Negative</t>
  </si>
  <si>
    <t xml:space="preserve">FR-01</t>
  </si>
  <si>
    <t xml:space="preserve">Đã tồn tại tài khoản với SĐT 0912345678.</t>
  </si>
  <si>
    <t xml:space="preserve">1. Nhập SĐT đã tồn tại (các field khác hợp lệ), nhấn Đăng ký.
2. Nhập Email đã tồn tại (SĐT mới), nhấn Đăng ký.</t>
  </si>
  <si>
    <t xml:space="preserve">SĐT trùng: 0912345678; Email trùng: a@example.com</t>
  </si>
  <si>
    <t xml:space="preserve">Hệ thống từ chối đăng ký, hiển thị lỗi 'SĐT/Email đã được sử dụng', không tạo bản ghi Customer mới.</t>
  </si>
  <si>
    <t xml:space="preserve">Hệ thống phát hiện SĐT trùng và từ chối; Hệ thống phát hiện Email trùng và từ chối; Không có bản ghi Customer trùng được tạo</t>
  </si>
  <si>
    <t xml:space="preserve">TC-03</t>
  </si>
  <si>
    <t xml:space="preserve">Quản lý tài khoản - Thiếu dữ liệu bắt buộc</t>
  </si>
  <si>
    <t xml:space="preserve">Missing Data</t>
  </si>
  <si>
    <t xml:space="preserve">Không có.</t>
  </si>
  <si>
    <t xml:space="preserve">Lần lượt bỏ trống Họ tên / SĐT / Email khi đăng ký, nhấn 'Đăng ký' ở mỗi lần.</t>
  </si>
  <si>
    <t xml:space="preserve">Bộ dữ liệu 1: thiếu Họ tên; Bộ 2: thiếu SĐT; Bộ 3: thiếu Email (các field còn lại hợp lệ)</t>
  </si>
  <si>
    <t xml:space="preserve">Hệ thống báo lỗi 'Trường bắt buộc' tương ứng cho từng trường hợp, không tạo tài khoản.</t>
  </si>
  <si>
    <t xml:space="preserve">Thiếu Họ tên bị chặn và báo lỗi; Thiếu SĐT bị chặn và báo lỗi; Thiếu Email bị chặn và báo lỗi</t>
  </si>
  <si>
    <t xml:space="preserve">TC-04</t>
  </si>
  <si>
    <t xml:space="preserve">Quản lý tài khoản - Dữ liệu sai định dạng/lỗi</t>
  </si>
  <si>
    <t xml:space="preserve">Error Data</t>
  </si>
  <si>
    <t xml:space="preserve">FR-01; FR-02; EX-18</t>
  </si>
  <si>
    <t xml:space="preserve">Nhập Email sai format, SĐT chứa chữ, Password chứa ký tự đặc biệt/chuỗi injection, nhấn 'Đăng ký'/'Đăng nhập'.</t>
  </si>
  <si>
    <t xml:space="preserve">Email: 'abc@'; SĐT: '091abc5678'; Password: "' OR '1'='1"</t>
  </si>
  <si>
    <t xml:space="preserve">Hệ thống validate và từ chối dữ liệu sai định dạng, hiển thị lỗi rõ ràng, hệ thống không bị lỗi/crash và không thực thi truy vấn nguy hiểm.</t>
  </si>
  <si>
    <t xml:space="preserve">Validate đúng định dạng Email; Validate đúng định dạng SĐT; Chống injection, hệ thống không crash</t>
  </si>
  <si>
    <t xml:space="preserve">TC-05</t>
  </si>
  <si>
    <t xml:space="preserve">Đặt xe - Tạo booking thành công</t>
  </si>
  <si>
    <t xml:space="preserve">FR-13; FR-14; FR-15; FR-16; FR-17; FR-49</t>
  </si>
  <si>
    <t xml:space="preserve">Khách hàng đã đăng nhập; có ít nhất 1 loại xe khả dụng trong khu vực.</t>
  </si>
  <si>
    <t xml:space="preserve">1. Nhập điểm đón hợp lệ.
2. Nhập điểm đến hợp lệ.
3. Chọn loại xe.
4. Nhấn 'Đặt xe'.</t>
  </si>
  <si>
    <t xml:space="preserve">Điểm đón: 123 Nguyen Trai, Q1; Điểm đến: 456 Le Loi, Q1; Loại xe: 4 chỗ</t>
  </si>
  <si>
    <t xml:space="preserve">Booking được tạo thành công, trạng thái chuyển REQUESTED -&gt; SEARCHING, khách hàng nhận thông báo tiếp nhận yêu cầu.</t>
  </si>
  <si>
    <t xml:space="preserve">Booking được tạo đầy đủ thông tin điểm đón/đến/loại xe; Trạng thái booking chuyển đúng REQUESTED-&gt;SEARCHING; Khách hàng nhận thông báo xác nhận tiếp nhận</t>
  </si>
  <si>
    <t xml:space="preserve">TC-06</t>
  </si>
  <si>
    <t xml:space="preserve">Đặt xe - Điểm đón trùng điểm đến</t>
  </si>
  <si>
    <t xml:space="preserve">Boundary</t>
  </si>
  <si>
    <t xml:space="preserve">FR-13; FR-14; EX-18</t>
  </si>
  <si>
    <t xml:space="preserve">Medium</t>
  </si>
  <si>
    <t xml:space="preserve">Khách hàng đã đăng nhập.</t>
  </si>
  <si>
    <t xml:space="preserve">1. Nhập điểm đón và điểm đến với cùng tọa độ (giá trị biên = 0 khoảng cách).
2. Nhấn 'Đặt xe'.</t>
  </si>
  <si>
    <t xml:space="preserve">Điểm đón = Điểm đến = 123 Nguyen Trai, Q1 (cùng tọa độ lat/lng)</t>
  </si>
  <si>
    <t xml:space="preserve">Hệ thống phát hiện điểm đón trùng điểm đến, cảnh báo và không tạo booking hợp lệ cho trường hợp này.</t>
  </si>
  <si>
    <t xml:space="preserve">Hệ thống phát hiện điều kiện biên điểm đón=điểm đến; Booking không được tạo khi vi phạm điều kiện biên</t>
  </si>
  <si>
    <t xml:space="preserve">TC-07</t>
  </si>
  <si>
    <t xml:space="preserve">Đặt xe - Thiếu điểm đến</t>
  </si>
  <si>
    <t xml:space="preserve">FR-14; NFR-59</t>
  </si>
  <si>
    <t xml:space="preserve">1. Nhập điểm đón hợp lệ.
2. Để trống điểm đến.
3. Nhấn 'Đặt xe'.</t>
  </si>
  <si>
    <t xml:space="preserve">Điểm đón: 123 Nguyen Trai, Q1; Điểm đến: (trống)</t>
  </si>
  <si>
    <t xml:space="preserve">Hệ thống hiển thị lỗi 'Vui lòng nhập điểm đến', booking không được tạo.</t>
  </si>
  <si>
    <t xml:space="preserve">Hệ thống chặn khi thiếu điểm đến; Thông báo lỗi rõ ràng, hướng dẫn người dùng nhập lại</t>
  </si>
  <si>
    <t xml:space="preserve">TC-08</t>
  </si>
  <si>
    <t xml:space="preserve">Đặt xe - Tọa độ không hợp lệ</t>
  </si>
  <si>
    <t xml:space="preserve">1. Nhập tọa độ điểm đón/đến ngoài phạm vi hợp lệ hoặc sai kiểu dữ liệu.
2. Nhấn 'Đặt xe'.</t>
  </si>
  <si>
    <t xml:space="preserve">Latitude = 999 (ngoài [-90,90]); Longitude = 'abc' (không phải số)</t>
  </si>
  <si>
    <t xml:space="preserve">Hệ thống từ chối yêu cầu, hiển thị lỗi dữ liệu không hợp lệ, không kích hoạt quy trình tìm tài xế (matching).</t>
  </si>
  <si>
    <t xml:space="preserve">Validate tọa độ đúng kiểu dữ liệu số; Validate tọa độ trong phạm vi hợp lệ; Không kích hoạt luồng tìm tài xế khi dữ liệu invalid</t>
  </si>
  <si>
    <t xml:space="preserve">TC-09</t>
  </si>
  <si>
    <t xml:space="preserve">Đặt xe - Hủy booking khi đang tìm tài xế</t>
  </si>
  <si>
    <t xml:space="preserve">FR-18; BR-18; EX-06</t>
  </si>
  <si>
    <t xml:space="preserve">Booking đang ở trạng thái SEARCHING.</t>
  </si>
  <si>
    <t xml:space="preserve">1. Khách hàng mở booking hiện tại.
2. Nhấn 'Hủy yêu cầu'.</t>
  </si>
  <si>
    <t xml:space="preserve">Booking ID đang ở trạng thái SEARCHING</t>
  </si>
  <si>
    <t xml:space="preserve">Booking chuyển sang trạng thái CANCELLED, quá trình tìm tài xế bị dừng ngay lập tức.</t>
  </si>
  <si>
    <t xml:space="preserve">Booking chuyển đúng trạng thái CANCELLED; Quá trình matching dừng ngay khi hủy</t>
  </si>
  <si>
    <t xml:space="preserve">TC-10</t>
  </si>
  <si>
    <t xml:space="preserve">Tìm và phân công tài xế - Matching thành công</t>
  </si>
  <si>
    <t xml:space="preserve">FR-20; FR-21; FR-22; BR-02; BR-03</t>
  </si>
  <si>
    <t xml:space="preserve">Có tài xế ở trạng thái Available, đúng loại xe yêu cầu, trong khu vực điểm đón.</t>
  </si>
  <si>
    <t xml:space="preserve">1. Hệ thống thực hiện tìm kiếm tài xế ngay sau khi booking hợp lệ được tạo.
2. Kiểm tra danh sách tài xế được chọn.</t>
  </si>
  <si>
    <t xml:space="preserve">Danh sách gồm tài xế Available đúng loại xe và tài xế Unavailable/không đúng loại xe.</t>
  </si>
  <si>
    <t xml:space="preserve">Hệ thống chỉ chọn tài xế Available, đúng loại xe, được sắp xếp theo tiêu chí ưu tiên, và gửi yêu cầu đến tài xế phù hợp nhất.</t>
  </si>
  <si>
    <t xml:space="preserve">Chỉ lọc tài xế ở trạng thái Available; Chỉ lọc tài xế đúng loại xe yêu cầu; Áp dụng đúng thứ tự ưu tiên tài xế</t>
  </si>
  <si>
    <t xml:space="preserve">TC-11</t>
  </si>
  <si>
    <t xml:space="preserve">Tìm và phân công tài xế - Tài xế từ chối chuyến</t>
  </si>
  <si>
    <t xml:space="preserve">FR-25; FR-27; BR-08; EX-02</t>
  </si>
  <si>
    <t xml:space="preserve">Tài xế A đã nhận được yêu cầu chuyến từ hệ thống.</t>
  </si>
  <si>
    <t xml:space="preserve">1. Tài xế A nhấn 'Từ chối' (Reject).
2. Kiểm tra hành vi hệ thống sau đó.</t>
  </si>
  <si>
    <t xml:space="preserve">Driver A: Reject request cho Booking B01</t>
  </si>
  <si>
    <t xml:space="preserve">Hệ thống ghi nhận từ chối của tài xế A, không hủy booking của khách hàng, tự động tìm và gửi yêu cầu đến tài xế tiếp theo.</t>
  </si>
  <si>
    <t xml:space="preserve">Hệ thống ghi nhận từ chối của driver; Hệ thống tự động chuyển sang tài xế tiếp theo mà không tạo booking mới</t>
  </si>
  <si>
    <t xml:space="preserve">TC-12</t>
  </si>
  <si>
    <t xml:space="preserve">Tìm và phân công tài xế - Timeout phản hồi tài xế</t>
  </si>
  <si>
    <t xml:space="preserve">FR-26; BR-07; EX-03</t>
  </si>
  <si>
    <t xml:space="preserve">Thời gian timeout phản hồi được cấu hình = T giây (ví dụ 30s).</t>
  </si>
  <si>
    <t xml:space="preserve">1. Không cho tài xế phản hồi đến đúng/ vượt mốc T giây.
2. Lặp lại với tài xế accept ở thời điểm T-1 giây (chưa vượt biên).</t>
  </si>
  <si>
    <t xml:space="preserve">Timeout cấu hình T=30s; Case A: không phản hồi tại giây 30; Case B: accept tại giây 29</t>
  </si>
  <si>
    <t xml:space="preserve">Case A: tại đúng/quá T giây hệ thống đánh dấu timeout và chuyển sang tài xế khác. Case B: tài xế vẫn accept được chuyến vì chưa vượt mốc T.</t>
  </si>
  <si>
    <t xml:space="preserve">Hệ thống xử lý đúng tại mốc thời gian biên T giây; Tài xế vẫn accept hợp lệ ở thời điểm ngay trước mốc biên T</t>
  </si>
  <si>
    <t xml:space="preserve">TC-13</t>
  </si>
  <si>
    <t xml:space="preserve">Tìm và phân công tài xế - Không tìm được tài xế</t>
  </si>
  <si>
    <t xml:space="preserve">FR-28; BR-09; EX-01</t>
  </si>
  <si>
    <t xml:space="preserve">Không có tài xế Available nào phù hợp trong khu vực/tiêu chí yêu cầu.</t>
  </si>
  <si>
    <t xml:space="preserve">1. Hệ thống thực hiện tìm kiếm hết toàn bộ danh sách tài xế phù hợp.
2. Kiểm tra trạng thái booking và thông báo cho khách hàng.</t>
  </si>
  <si>
    <t xml:space="preserve">Danh sách tài xế phù hợp = rỗng (0 tài xế)</t>
  </si>
  <si>
    <t xml:space="preserve">Booking chuyển sang trạng thái NO_DRIVER, khách hàng nhận được thông báo rõ ràng 'Không tìm được tài xế phù hợp'.</t>
  </si>
  <si>
    <t xml:space="preserve">Booking chuyển đúng trạng thái NO_DRIVER; Khách hàng được thông báo rõ ràng khi không tìm được tài xế</t>
  </si>
  <si>
    <t xml:space="preserve">TC-14</t>
  </si>
  <si>
    <t xml:space="preserve">Quản lý chuyến đi - Cập nhật trạng thái đúng thứ tự</t>
  </si>
  <si>
    <t xml:space="preserve">FR-29; FR-30; FR-31; FR-32; FR-33; BR-10</t>
  </si>
  <si>
    <t xml:space="preserve">Booking đã có tài xế nhận (DRIVER_ASSIGNED).</t>
  </si>
  <si>
    <t xml:space="preserve">Tài xế cập nhật lần lượt: DRIVER_ASSIGNED -&gt; DRIVER_ARRIVED -&gt; PASSENGER_PICKED_UP -&gt; IN_PROGRESS -&gt; COMPLETED.</t>
  </si>
  <si>
    <t xml:space="preserve">Chuyến B02, tài xế D01, cập nhật tuần tự 5 trạng thái theo mục 8.2 SRS</t>
  </si>
  <si>
    <t xml:space="preserve">Mỗi trạng thái được cập nhật thành công và đúng thứ tự nghiệp vụ quy định; khách hàng nhận thông báo tương ứng mỗi bước; hệ thống không cho phép bỏ qua bước.</t>
  </si>
  <si>
    <t xml:space="preserve">Mỗi trạng thái được cập nhật đúng và lưu lại; Khách hàng nhận thông báo tương ứng mỗi bước chuyển trạng thái; Không cho phép bỏ qua bước trung gian trong luồng hợp lệ</t>
  </si>
  <si>
    <t xml:space="preserve">TC-15</t>
  </si>
  <si>
    <t xml:space="preserve">Quản lý chuyến đi - Cập nhật trạng thái sai thứ tự</t>
  </si>
  <si>
    <t xml:space="preserve">BR-10</t>
  </si>
  <si>
    <t xml:space="preserve">Booking đang ở trạng thái DRIVER_ASSIGNED.</t>
  </si>
  <si>
    <t xml:space="preserve">Tài xế gửi request chuyển trực tiếp từ DRIVER_ASSIGNED sang COMPLETED (bỏ qua DRIVER_ARRIVED, PASSENGER_PICKED_UP, IN_PROGRESS).</t>
  </si>
  <si>
    <t xml:space="preserve">Chuyến B03: request transition DRIVER_ASSIGNED -&gt; COMPLETED</t>
  </si>
  <si>
    <t xml:space="preserve">Hệ thống từ chối transition không hợp lệ, giữ nguyên trạng thái hiện tại (DRIVER_ASSIGNED) và trả về lỗi rõ ràng.</t>
  </si>
  <si>
    <t xml:space="preserve">Transition trạng thái không hợp lệ bị hệ thống từ chối; Trạng thái booking/trip không bị thay đổi sai khi request lỗi</t>
  </si>
  <si>
    <t xml:space="preserve">TC-16</t>
  </si>
  <si>
    <t xml:space="preserve">Tính cước - Giá trị biên khoảng cách/tiền cước</t>
  </si>
  <si>
    <t xml:space="preserve">FR-38; FR-39; FR-40; FR-41; BR-13</t>
  </si>
  <si>
    <t xml:space="preserve">Chuyến đã hoàn thành (COMPLETED).</t>
  </si>
  <si>
    <t xml:space="preserve">Case A: tính cước với khoảng cách = 0 km (điểm đón rất gần điểm đến). Case B: dữ liệu GPS lỗi trả về khoảng cách âm.</t>
  </si>
  <si>
    <t xml:space="preserve">Case A: distance = 0 km; Case B: distance = -5 km (dữ liệu bất thường từ GPS)</t>
  </si>
  <si>
    <t xml:space="preserve">Case A: hệ thống áp dụng đúng mức cước tối thiểu (base fare) hợp lệ. Case B: hệ thống không tính cước âm, ghi nhận lỗi để Operation kiểm tra.</t>
  </si>
  <si>
    <t xml:space="preserve">Tính đúng mức cước tối thiểu tại giá trị biên 0km; Không chấp nhận giá trị âm cho khoảng cách/tiền cước; Fare được lưu liên kết đúng với Trip tương ứng</t>
  </si>
  <si>
    <t xml:space="preserve">TC-17</t>
  </si>
  <si>
    <t xml:space="preserve">Thanh toán - Thanh toán tiền mặt thành công</t>
  </si>
  <si>
    <t xml:space="preserve">FR-42</t>
  </si>
  <si>
    <t xml:space="preserve">Chuyến đã COMPLETED, khách hàng chọn phương thức thanh toán tiền mặt.</t>
  </si>
  <si>
    <t xml:space="preserve">1. Khách hàng xác nhận đã thanh toán tiền mặt cho tài xế.
2. Kiểm tra trạng thái Payment và Trip.</t>
  </si>
  <si>
    <t xml:space="preserve">Trip T01, phương thức: Cash, số tiền: 55.000đ</t>
  </si>
  <si>
    <t xml:space="preserve">Hệ thống ghi nhận trạng thái thanh toán = PAID (tiền mặt), Trip/Booking chuyển sang trạng thái đã thanh toán.</t>
  </si>
  <si>
    <t xml:space="preserve">Trạng thái thanh toán tiền mặt được ghi nhận đúng; Trip/Booking chuyển đúng trạng thái sau khi thanh toán hoàn tất</t>
  </si>
  <si>
    <t xml:space="preserve">TC-18</t>
  </si>
  <si>
    <t xml:space="preserve">Thanh toán - Thanh toán điện tử thất bại và retry</t>
  </si>
  <si>
    <t xml:space="preserve">FR-43; FR-44; FR-45; FR-46; FR-47; BR-16; BR-17; EX-11; EX-12; EX-13</t>
  </si>
  <si>
    <t xml:space="preserve">Chuyến đã COMPLETED, khách hàng chọn thanh toán điện tử.</t>
  </si>
  <si>
    <t xml:space="preserve">1. Payment Provider trả về kết quả FAILED, kiểm tra trạng thái &amp; thông báo.
2. Khách hàng thực hiện Retry thanh toán.
3. Gửi đồng thời 2 request thanh toán cho cùng 1 giao dịch (duplicate submit).</t>
  </si>
  <si>
    <t xml:space="preserve">Trip T02, phương thức: Electronic; Lần 1: Payment Provider trả FAILED; Lần 2: Retry; Case 3: 2 request đồng thời cùng reference ID</t>
  </si>
  <si>
    <t xml:space="preserve">(1) Payment=FAILED được ghi nhận, khách hàng nhận thông báo thất bại. (2) Retry được thực hiện theo chính sách và cập nhật kết quả mới. (3) Hệ thống không tạo giao dịch trùng nhờ cơ chế idempotency/reference ID.</t>
  </si>
  <si>
    <t xml:space="preserve">Ghi nhận đúng trạng thái thanh toán thất bại và thông báo khách hàng; Cho phép retry theo chính sách và cập nhật kết quả giao dịch mới; Ngăn chặn tạo giao dịch trùng khi có nhiều request đồng thời (idempotency)</t>
  </si>
  <si>
    <t xml:space="preserve">TC-19</t>
  </si>
  <si>
    <t xml:space="preserve">Đánh giá tài xế - Đánh giá khi chuyến chưa hoàn thành</t>
  </si>
  <si>
    <t xml:space="preserve">FR-60; BR-20</t>
  </si>
  <si>
    <t xml:space="preserve">Trip đang ở trạng thái IN_PROGRESS (chưa COMPLETED).</t>
  </si>
  <si>
    <t xml:space="preserve">1. Khách hàng cố gắng gửi đánh giá (rating) cho tài xế trong khi chuyến chưa hoàn thành.</t>
  </si>
  <si>
    <t xml:space="preserve">Trip T03 (IN_PROGRESS), rating = 5 sao, comment = 'Tốt'</t>
  </si>
  <si>
    <t xml:space="preserve">Hệ thống từ chối yêu cầu đánh giá, hiển thị lỗi 'Chỉ được đánh giá sau khi chuyến hoàn thành', không tạo bản ghi Rating.</t>
  </si>
  <si>
    <t xml:space="preserve">Hệ thống chặn đánh giá khi Trip chưa ở trạng thái COMPLETED; Không tạo bản ghi Rating khi yêu cầu bị chặn</t>
  </si>
  <si>
    <t xml:space="preserve">TC-20</t>
  </si>
  <si>
    <t xml:space="preserve">Phân quyền - Truy cập chức năng ngoài quyền hạn</t>
  </si>
  <si>
    <t xml:space="preserve">FR-76; BR-23; NFR-21; EX-17; FR-77</t>
  </si>
  <si>
    <t xml:space="preserve">Tài khoản Operation Staff không được cấp quyền quản lý Role/Audit Log (chỉ System Admin mới có).</t>
  </si>
  <si>
    <t xml:space="preserve">1. Đăng nhập với tài khoản Operation Staff.
2. Cố gắng truy cập/thao tác chức năng Quản lý Role hoặc Audit Log.</t>
  </si>
  <si>
    <t xml:space="preserve">User: operation_staff01 (role = Operation), chức năng thử truy cập: 'Quản lý Role'</t>
  </si>
  <si>
    <t xml:space="preserve">Hệ thống từ chối truy cập (permission denied), không cho thực hiện thao tác, và ghi nhận hành vi truy cập bị từ chối vào Audit Log.</t>
  </si>
  <si>
    <t xml:space="preserve">Hệ thống kiểm tra quyền trước khi cho phép thao tác; Từ chối thao tác nằm ngoài quyền hạn được cấp; Hành vi truy cập bị ghi nhận vào Audit Log</t>
  </si>
  <si>
    <t xml:space="preserve">TỔNG SỐ TIÊU CHÍ KIỂM TRA ĐÃ BAO QUÁT (SUM 20 TEST CASE)</t>
  </si>
  <si>
    <t xml:space="preserve">GHI CHÚ: Mỗi Test Case được gắn 1 trong 5 loại điều kiện bắt buộc, phân biệt bằng màu ở cột 'Loại kiểm tra':</t>
  </si>
  <si>
    <t xml:space="preserve">Kiểm tra với dữ liệu/luồng hợp lệ, mong đợi hệ thống xử lý thành công</t>
  </si>
  <si>
    <t xml:space="preserve">Kiểm tra với luồng/điều kiện không mong đợi, hệ thống phải xử lý đúng và từ chối/chuyển hướng hợp lý</t>
  </si>
  <si>
    <t xml:space="preserve">Kiểm tra giá trị biên (min/max/ngưỡng thời gian, khoảng cách = 0, trùng tọa độ...)</t>
  </si>
  <si>
    <t xml:space="preserve">Kiểm tra khi thiếu dữ liệu bắt buộc (trường trống)</t>
  </si>
  <si>
    <t xml:space="preserve">Kiểm tra với dữ liệu sai định dạng/không hợp lệ/dữ liệu gây lỗi hệ thống</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</si>
</sst>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1F4E78"/>
      <name val="Arial"/>
      <family val="0"/>
      <charset val="1"/>
    </font>
    <font>
      <i val="true"/>
      <sz val="9"/>
      <color rgb="FF808080"/>
      <name val="Arial"/>
      <family val="0"/>
      <charset val="1"/>
    </font>
    <font>
      <b val="true"/>
      <sz val="10"/>
      <color rgb="FFFFFFFF"/>
      <name val="Arial"/>
      <family val="0"/>
      <charset val="1"/>
    </font>
    <font>
      <sz val="10"/>
      <name val="Arial"/>
      <family val="0"/>
      <charset val="1"/>
    </font>
    <font>
      <b val="true"/>
      <sz val="10"/>
      <name val="Arial"/>
      <family val="0"/>
      <charset val="1"/>
    </font>
    <font>
      <b val="true"/>
      <sz val="11"/>
      <color rgb="FFFFFFFF"/>
      <name val="Arial"/>
      <family val="0"/>
      <charset val="1"/>
    </font>
    <font>
      <b val="true"/>
      <sz val="12"/>
      <color rgb="FFFFFFFF"/>
      <name val="Arial"/>
      <family val="0"/>
      <charset val="1"/>
    </font>
  </fonts>
  <fills count="9">
    <fill>
      <patternFill patternType="none"/>
    </fill>
    <fill>
      <patternFill patternType="gray125"/>
    </fill>
    <fill>
      <patternFill patternType="solid">
        <fgColor rgb="FF1F4E78"/>
        <bgColor rgb="FF003366"/>
      </patternFill>
    </fill>
    <fill>
      <patternFill patternType="solid">
        <fgColor rgb="FF2E75B6"/>
        <bgColor rgb="FF0066CC"/>
      </patternFill>
    </fill>
    <fill>
      <patternFill patternType="solid">
        <fgColor rgb="FFC6EFCE"/>
        <bgColor rgb="FFCCFFFF"/>
      </patternFill>
    </fill>
    <fill>
      <patternFill patternType="solid">
        <fgColor rgb="FFFFC7CE"/>
        <bgColor rgb="FFD9D2E9"/>
      </patternFill>
    </fill>
    <fill>
      <patternFill patternType="solid">
        <fgColor rgb="FFBDD7EE"/>
        <bgColor rgb="FFD9D2E9"/>
      </patternFill>
    </fill>
    <fill>
      <patternFill patternType="solid">
        <fgColor rgb="FFD9D2E9"/>
        <bgColor rgb="FFBDD7EE"/>
      </patternFill>
    </fill>
    <fill>
      <patternFill patternType="solid">
        <fgColor rgb="FFFFEB9C"/>
        <bgColor rgb="FFFFFFCC"/>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7" fillId="3" borderId="0" xfId="0" applyFont="true" applyBorder="fals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4" fontId="8" fillId="7" borderId="1" xfId="0" applyFont="true" applyBorder="true" applyAlignment="true" applyProtection="false">
      <alignment horizontal="center" vertical="center" textRotation="0" wrapText="false" indent="0" shrinkToFit="false"/>
      <protection locked="true" hidden="false"/>
    </xf>
    <xf numFmtId="164" fontId="8" fillId="8" borderId="1" xfId="0" applyFont="true" applyBorder="true" applyAlignment="true" applyProtection="false">
      <alignment horizontal="center" vertical="center" textRotation="0" wrapText="false" indent="0" shrinkToFit="false"/>
      <protection locked="true" hidden="false"/>
    </xf>
    <xf numFmtId="164" fontId="10" fillId="2" borderId="0" xfId="0" applyFont="true" applyBorder="true" applyAlignment="true" applyProtection="false">
      <alignment horizontal="right" vertical="center" textRotation="0" wrapText="false" indent="0" shrinkToFit="false"/>
      <protection locked="true" hidden="false"/>
    </xf>
    <xf numFmtId="165" fontId="11" fillId="2"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5" borderId="0" xfId="0" applyFont="true" applyBorder="false" applyAlignment="false" applyProtection="false">
      <alignment horizontal="general" vertical="bottom" textRotation="0" wrapText="false" indent="0" shrinkToFit="false"/>
      <protection locked="true" hidden="false"/>
    </xf>
    <xf numFmtId="164" fontId="9" fillId="8" borderId="0" xfId="0" applyFont="true" applyBorder="false" applyAlignment="false" applyProtection="false">
      <alignment horizontal="general" vertical="bottom" textRotation="0" wrapText="false" indent="0" shrinkToFit="false"/>
      <protection locked="true" hidden="false"/>
    </xf>
    <xf numFmtId="164" fontId="9" fillId="6" borderId="0" xfId="0" applyFont="true" applyBorder="false" applyAlignment="false" applyProtection="false">
      <alignment horizontal="general" vertical="bottom" textRotation="0" wrapText="false" indent="0" shrinkToFit="false"/>
      <protection locked="true" hidden="false"/>
    </xf>
    <xf numFmtId="164" fontId="9" fillId="7"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D9D2E9"/>
      <rgbColor rgb="FF000080"/>
      <rgbColor rgb="FFFF00FF"/>
      <rgbColor rgb="FFFFFF00"/>
      <rgbColor rgb="FF00FFFF"/>
      <rgbColor rgb="FF800080"/>
      <rgbColor rgb="FF800000"/>
      <rgbColor rgb="FF008080"/>
      <rgbColor rgb="FF0000FF"/>
      <rgbColor rgb="FF00CCFF"/>
      <rgbColor rgb="FFCCFFFF"/>
      <rgbColor rgb="FFC6EFCE"/>
      <rgbColor rgb="FFFFEB9C"/>
      <rgbColor rgb="FFBDD7EE"/>
      <rgbColor rgb="FFFF99CC"/>
      <rgbColor rgb="FFCC99FF"/>
      <rgbColor rgb="FFFFC7CE"/>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14"/>
    <col collapsed="false" customWidth="true" hidden="false" outlineLevel="0" max="4" min="4" style="0" width="20"/>
    <col collapsed="false" customWidth="true" hidden="false" outlineLevel="0" max="5" min="5" style="0" width="9"/>
    <col collapsed="false" customWidth="true" hidden="false" outlineLevel="0" max="6" min="6" style="0" width="26"/>
    <col collapsed="false" customWidth="true" hidden="false" outlineLevel="0" max="7" min="7" style="0" width="34"/>
    <col collapsed="false" customWidth="true" hidden="false" outlineLevel="0" max="8" min="8" style="0" width="30"/>
    <col collapsed="false" customWidth="true" hidden="false" outlineLevel="0" max="9" min="9" style="0" width="34"/>
    <col collapsed="false" customWidth="true" hidden="false" outlineLevel="0" max="10" min="10" style="0" width="46"/>
    <col collapsed="false" customWidth="true" hidden="false" outlineLevel="0" max="11" min="11" style="0" width="10"/>
  </cols>
  <sheetData>
    <row r="1" customFormat="false" ht="25.5" hidden="false" customHeight="true" outlineLevel="0" collapsed="false">
      <c r="A1" s="1" t="s">
        <v>0</v>
      </c>
      <c r="B1" s="1"/>
      <c r="C1" s="1"/>
      <c r="D1" s="1"/>
      <c r="E1" s="1"/>
      <c r="F1" s="1"/>
      <c r="G1" s="1"/>
      <c r="H1" s="1"/>
      <c r="I1" s="1"/>
      <c r="J1" s="1"/>
      <c r="K1" s="1"/>
    </row>
    <row r="2" customFormat="false" ht="18" hidden="false" customHeight="true" outlineLevel="0" collapsed="false">
      <c r="A2" s="2" t="s">
        <v>1</v>
      </c>
      <c r="B2" s="2"/>
      <c r="C2" s="2"/>
      <c r="D2" s="2"/>
      <c r="E2" s="2"/>
      <c r="F2" s="2"/>
      <c r="G2" s="2"/>
      <c r="H2" s="2"/>
      <c r="I2" s="2"/>
      <c r="J2" s="2"/>
      <c r="K2" s="2"/>
    </row>
    <row r="3" customFormat="false" ht="15" hidden="false" customHeight="false" outlineLevel="0" collapsed="false">
      <c r="A3" s="3" t="s">
        <v>2</v>
      </c>
      <c r="B3" s="3"/>
      <c r="C3" s="3"/>
      <c r="D3" s="3"/>
      <c r="E3" s="3"/>
      <c r="F3" s="3"/>
      <c r="G3" s="3"/>
      <c r="H3" s="3"/>
      <c r="I3" s="3"/>
      <c r="J3" s="3"/>
      <c r="K3" s="3"/>
    </row>
    <row r="5" customFormat="false" ht="39.75" hidden="false" customHeight="true" outlineLevel="0" collapsed="false">
      <c r="A5" s="4" t="s">
        <v>3</v>
      </c>
      <c r="B5" s="4" t="s">
        <v>4</v>
      </c>
      <c r="C5" s="4" t="s">
        <v>5</v>
      </c>
      <c r="D5" s="4" t="s">
        <v>6</v>
      </c>
      <c r="E5" s="4" t="s">
        <v>7</v>
      </c>
      <c r="F5" s="4" t="s">
        <v>8</v>
      </c>
      <c r="G5" s="4" t="s">
        <v>9</v>
      </c>
      <c r="H5" s="4" t="s">
        <v>10</v>
      </c>
      <c r="I5" s="4" t="s">
        <v>11</v>
      </c>
      <c r="J5" s="4" t="s">
        <v>12</v>
      </c>
      <c r="K5" s="4" t="s">
        <v>13</v>
      </c>
    </row>
    <row r="6" customFormat="false" ht="46.25" hidden="false" customHeight="false" outlineLevel="0" collapsed="false">
      <c r="A6" s="5" t="s">
        <v>14</v>
      </c>
      <c r="B6" s="6" t="s">
        <v>15</v>
      </c>
      <c r="C6" s="7" t="s">
        <v>16</v>
      </c>
      <c r="D6" s="6" t="s">
        <v>17</v>
      </c>
      <c r="E6" s="5" t="s">
        <v>18</v>
      </c>
      <c r="F6" s="6" t="s">
        <v>19</v>
      </c>
      <c r="G6" s="6" t="s">
        <v>20</v>
      </c>
      <c r="H6" s="6" t="s">
        <v>21</v>
      </c>
      <c r="I6" s="6" t="s">
        <v>22</v>
      </c>
      <c r="J6" s="6" t="s">
        <v>23</v>
      </c>
      <c r="K6" s="8" t="n">
        <f aca="false">LEN(J6)-LEN(SUBSTITUTE(J6,";",""))+1</f>
        <v>2</v>
      </c>
    </row>
    <row r="7" customFormat="false" ht="46.25" hidden="false" customHeight="false" outlineLevel="0" collapsed="false">
      <c r="A7" s="5" t="s">
        <v>24</v>
      </c>
      <c r="B7" s="6" t="s">
        <v>25</v>
      </c>
      <c r="C7" s="9" t="s">
        <v>26</v>
      </c>
      <c r="D7" s="6" t="s">
        <v>27</v>
      </c>
      <c r="E7" s="5" t="s">
        <v>18</v>
      </c>
      <c r="F7" s="6" t="s">
        <v>28</v>
      </c>
      <c r="G7" s="6" t="s">
        <v>29</v>
      </c>
      <c r="H7" s="6" t="s">
        <v>30</v>
      </c>
      <c r="I7" s="6" t="s">
        <v>31</v>
      </c>
      <c r="J7" s="6" t="s">
        <v>32</v>
      </c>
      <c r="K7" s="8" t="n">
        <f aca="false">LEN(J7)-LEN(SUBSTITUTE(J7,";",""))+1</f>
        <v>3</v>
      </c>
    </row>
    <row r="8" customFormat="false" ht="35.05" hidden="false" customHeight="false" outlineLevel="0" collapsed="false">
      <c r="A8" s="5" t="s">
        <v>33</v>
      </c>
      <c r="B8" s="6" t="s">
        <v>34</v>
      </c>
      <c r="C8" s="10" t="s">
        <v>35</v>
      </c>
      <c r="D8" s="6" t="s">
        <v>27</v>
      </c>
      <c r="E8" s="5" t="s">
        <v>18</v>
      </c>
      <c r="F8" s="6" t="s">
        <v>36</v>
      </c>
      <c r="G8" s="6" t="s">
        <v>37</v>
      </c>
      <c r="H8" s="6" t="s">
        <v>38</v>
      </c>
      <c r="I8" s="6" t="s">
        <v>39</v>
      </c>
      <c r="J8" s="6" t="s">
        <v>40</v>
      </c>
      <c r="K8" s="8" t="n">
        <f aca="false">LEN(J8)-LEN(SUBSTITUTE(J8,";",""))+1</f>
        <v>3</v>
      </c>
    </row>
    <row r="9" customFormat="false" ht="46.25" hidden="false" customHeight="false" outlineLevel="0" collapsed="false">
      <c r="A9" s="5" t="s">
        <v>41</v>
      </c>
      <c r="B9" s="6" t="s">
        <v>42</v>
      </c>
      <c r="C9" s="11" t="s">
        <v>43</v>
      </c>
      <c r="D9" s="6" t="s">
        <v>44</v>
      </c>
      <c r="E9" s="5" t="s">
        <v>18</v>
      </c>
      <c r="F9" s="6" t="s">
        <v>36</v>
      </c>
      <c r="G9" s="6" t="s">
        <v>45</v>
      </c>
      <c r="H9" s="6" t="s">
        <v>46</v>
      </c>
      <c r="I9" s="6" t="s">
        <v>47</v>
      </c>
      <c r="J9" s="6" t="s">
        <v>48</v>
      </c>
      <c r="K9" s="8" t="n">
        <f aca="false">LEN(J9)-LEN(SUBSTITUTE(J9,";",""))+1</f>
        <v>3</v>
      </c>
    </row>
    <row r="10" customFormat="false" ht="46.25" hidden="false" customHeight="false" outlineLevel="0" collapsed="false">
      <c r="A10" s="5" t="s">
        <v>49</v>
      </c>
      <c r="B10" s="6" t="s">
        <v>50</v>
      </c>
      <c r="C10" s="7" t="s">
        <v>16</v>
      </c>
      <c r="D10" s="6" t="s">
        <v>51</v>
      </c>
      <c r="E10" s="5" t="s">
        <v>18</v>
      </c>
      <c r="F10" s="6" t="s">
        <v>52</v>
      </c>
      <c r="G10" s="6" t="s">
        <v>53</v>
      </c>
      <c r="H10" s="6" t="s">
        <v>54</v>
      </c>
      <c r="I10" s="6" t="s">
        <v>55</v>
      </c>
      <c r="J10" s="6" t="s">
        <v>56</v>
      </c>
      <c r="K10" s="8" t="n">
        <f aca="false">LEN(J10)-LEN(SUBSTITUTE(J10,";",""))+1</f>
        <v>3</v>
      </c>
    </row>
    <row r="11" customFormat="false" ht="35.05" hidden="false" customHeight="false" outlineLevel="0" collapsed="false">
      <c r="A11" s="5" t="s">
        <v>57</v>
      </c>
      <c r="B11" s="6" t="s">
        <v>58</v>
      </c>
      <c r="C11" s="12" t="s">
        <v>59</v>
      </c>
      <c r="D11" s="6" t="s">
        <v>60</v>
      </c>
      <c r="E11" s="5" t="s">
        <v>61</v>
      </c>
      <c r="F11" s="6" t="s">
        <v>62</v>
      </c>
      <c r="G11" s="6" t="s">
        <v>63</v>
      </c>
      <c r="H11" s="6" t="s">
        <v>64</v>
      </c>
      <c r="I11" s="6" t="s">
        <v>65</v>
      </c>
      <c r="J11" s="6" t="s">
        <v>66</v>
      </c>
      <c r="K11" s="8" t="n">
        <f aca="false">LEN(J11)-LEN(SUBSTITUTE(J11,";",""))+1</f>
        <v>2</v>
      </c>
    </row>
    <row r="12" customFormat="false" ht="35.05" hidden="false" customHeight="false" outlineLevel="0" collapsed="false">
      <c r="A12" s="5" t="s">
        <v>67</v>
      </c>
      <c r="B12" s="6" t="s">
        <v>68</v>
      </c>
      <c r="C12" s="10" t="s">
        <v>35</v>
      </c>
      <c r="D12" s="6" t="s">
        <v>69</v>
      </c>
      <c r="E12" s="5" t="s">
        <v>61</v>
      </c>
      <c r="F12" s="6" t="s">
        <v>62</v>
      </c>
      <c r="G12" s="6" t="s">
        <v>70</v>
      </c>
      <c r="H12" s="6" t="s">
        <v>71</v>
      </c>
      <c r="I12" s="6" t="s">
        <v>72</v>
      </c>
      <c r="J12" s="6" t="s">
        <v>73</v>
      </c>
      <c r="K12" s="8" t="n">
        <f aca="false">LEN(J12)-LEN(SUBSTITUTE(J12,";",""))+1</f>
        <v>2</v>
      </c>
    </row>
    <row r="13" customFormat="false" ht="35.05" hidden="false" customHeight="false" outlineLevel="0" collapsed="false">
      <c r="A13" s="5" t="s">
        <v>74</v>
      </c>
      <c r="B13" s="6" t="s">
        <v>75</v>
      </c>
      <c r="C13" s="11" t="s">
        <v>43</v>
      </c>
      <c r="D13" s="6" t="s">
        <v>60</v>
      </c>
      <c r="E13" s="5" t="s">
        <v>18</v>
      </c>
      <c r="F13" s="6" t="s">
        <v>62</v>
      </c>
      <c r="G13" s="6" t="s">
        <v>76</v>
      </c>
      <c r="H13" s="6" t="s">
        <v>77</v>
      </c>
      <c r="I13" s="6" t="s">
        <v>78</v>
      </c>
      <c r="J13" s="6" t="s">
        <v>79</v>
      </c>
      <c r="K13" s="8" t="n">
        <f aca="false">LEN(J13)-LEN(SUBSTITUTE(J13,";",""))+1</f>
        <v>3</v>
      </c>
    </row>
    <row r="14" customFormat="false" ht="35.05" hidden="false" customHeight="false" outlineLevel="0" collapsed="false">
      <c r="A14" s="5" t="s">
        <v>80</v>
      </c>
      <c r="B14" s="6" t="s">
        <v>81</v>
      </c>
      <c r="C14" s="7" t="s">
        <v>16</v>
      </c>
      <c r="D14" s="6" t="s">
        <v>82</v>
      </c>
      <c r="E14" s="5" t="s">
        <v>18</v>
      </c>
      <c r="F14" s="6" t="s">
        <v>83</v>
      </c>
      <c r="G14" s="6" t="s">
        <v>84</v>
      </c>
      <c r="H14" s="6" t="s">
        <v>85</v>
      </c>
      <c r="I14" s="6" t="s">
        <v>86</v>
      </c>
      <c r="J14" s="6" t="s">
        <v>87</v>
      </c>
      <c r="K14" s="8" t="n">
        <f aca="false">LEN(J14)-LEN(SUBSTITUTE(J14,";",""))+1</f>
        <v>2</v>
      </c>
    </row>
    <row r="15" customFormat="false" ht="46.25" hidden="false" customHeight="false" outlineLevel="0" collapsed="false">
      <c r="A15" s="5" t="s">
        <v>88</v>
      </c>
      <c r="B15" s="6" t="s">
        <v>89</v>
      </c>
      <c r="C15" s="7" t="s">
        <v>16</v>
      </c>
      <c r="D15" s="6" t="s">
        <v>90</v>
      </c>
      <c r="E15" s="5" t="s">
        <v>18</v>
      </c>
      <c r="F15" s="6" t="s">
        <v>91</v>
      </c>
      <c r="G15" s="6" t="s">
        <v>92</v>
      </c>
      <c r="H15" s="6" t="s">
        <v>93</v>
      </c>
      <c r="I15" s="6" t="s">
        <v>94</v>
      </c>
      <c r="J15" s="6" t="s">
        <v>95</v>
      </c>
      <c r="K15" s="8" t="n">
        <f aca="false">LEN(J15)-LEN(SUBSTITUTE(J15,";",""))+1</f>
        <v>3</v>
      </c>
    </row>
    <row r="16" customFormat="false" ht="46.25" hidden="false" customHeight="false" outlineLevel="0" collapsed="false">
      <c r="A16" s="5" t="s">
        <v>96</v>
      </c>
      <c r="B16" s="6" t="s">
        <v>97</v>
      </c>
      <c r="C16" s="9" t="s">
        <v>26</v>
      </c>
      <c r="D16" s="6" t="s">
        <v>98</v>
      </c>
      <c r="E16" s="5" t="s">
        <v>18</v>
      </c>
      <c r="F16" s="6" t="s">
        <v>99</v>
      </c>
      <c r="G16" s="6" t="s">
        <v>100</v>
      </c>
      <c r="H16" s="6" t="s">
        <v>101</v>
      </c>
      <c r="I16" s="6" t="s">
        <v>102</v>
      </c>
      <c r="J16" s="6" t="s">
        <v>103</v>
      </c>
      <c r="K16" s="8" t="n">
        <f aca="false">LEN(J16)-LEN(SUBSTITUTE(J16,";",""))+1</f>
        <v>2</v>
      </c>
    </row>
    <row r="17" customFormat="false" ht="46.25" hidden="false" customHeight="false" outlineLevel="0" collapsed="false">
      <c r="A17" s="5" t="s">
        <v>104</v>
      </c>
      <c r="B17" s="6" t="s">
        <v>105</v>
      </c>
      <c r="C17" s="12" t="s">
        <v>59</v>
      </c>
      <c r="D17" s="6" t="s">
        <v>106</v>
      </c>
      <c r="E17" s="5" t="s">
        <v>18</v>
      </c>
      <c r="F17" s="6" t="s">
        <v>107</v>
      </c>
      <c r="G17" s="6" t="s">
        <v>108</v>
      </c>
      <c r="H17" s="6" t="s">
        <v>109</v>
      </c>
      <c r="I17" s="6" t="s">
        <v>110</v>
      </c>
      <c r="J17" s="6" t="s">
        <v>111</v>
      </c>
      <c r="K17" s="8" t="n">
        <f aca="false">LEN(J17)-LEN(SUBSTITUTE(J17,";",""))+1</f>
        <v>2</v>
      </c>
    </row>
    <row r="18" customFormat="false" ht="46.25" hidden="false" customHeight="false" outlineLevel="0" collapsed="false">
      <c r="A18" s="5" t="s">
        <v>112</v>
      </c>
      <c r="B18" s="6" t="s">
        <v>113</v>
      </c>
      <c r="C18" s="9" t="s">
        <v>26</v>
      </c>
      <c r="D18" s="6" t="s">
        <v>114</v>
      </c>
      <c r="E18" s="5" t="s">
        <v>18</v>
      </c>
      <c r="F18" s="6" t="s">
        <v>115</v>
      </c>
      <c r="G18" s="6" t="s">
        <v>116</v>
      </c>
      <c r="H18" s="6" t="s">
        <v>117</v>
      </c>
      <c r="I18" s="6" t="s">
        <v>118</v>
      </c>
      <c r="J18" s="6" t="s">
        <v>119</v>
      </c>
      <c r="K18" s="8" t="n">
        <f aca="false">LEN(J18)-LEN(SUBSTITUTE(J18,";",""))+1</f>
        <v>2</v>
      </c>
    </row>
    <row r="19" customFormat="false" ht="57.45" hidden="false" customHeight="false" outlineLevel="0" collapsed="false">
      <c r="A19" s="5" t="s">
        <v>120</v>
      </c>
      <c r="B19" s="6" t="s">
        <v>121</v>
      </c>
      <c r="C19" s="7" t="s">
        <v>16</v>
      </c>
      <c r="D19" s="6" t="s">
        <v>122</v>
      </c>
      <c r="E19" s="5" t="s">
        <v>18</v>
      </c>
      <c r="F19" s="6" t="s">
        <v>123</v>
      </c>
      <c r="G19" s="6" t="s">
        <v>124</v>
      </c>
      <c r="H19" s="6" t="s">
        <v>125</v>
      </c>
      <c r="I19" s="6" t="s">
        <v>126</v>
      </c>
      <c r="J19" s="6" t="s">
        <v>127</v>
      </c>
      <c r="K19" s="8" t="n">
        <f aca="false">LEN(J19)-LEN(SUBSTITUTE(J19,";",""))+1</f>
        <v>3</v>
      </c>
    </row>
    <row r="20" customFormat="false" ht="57.45" hidden="false" customHeight="false" outlineLevel="0" collapsed="false">
      <c r="A20" s="5" t="s">
        <v>128</v>
      </c>
      <c r="B20" s="6" t="s">
        <v>129</v>
      </c>
      <c r="C20" s="11" t="s">
        <v>43</v>
      </c>
      <c r="D20" s="6" t="s">
        <v>130</v>
      </c>
      <c r="E20" s="5" t="s">
        <v>18</v>
      </c>
      <c r="F20" s="6" t="s">
        <v>131</v>
      </c>
      <c r="G20" s="6" t="s">
        <v>132</v>
      </c>
      <c r="H20" s="6" t="s">
        <v>133</v>
      </c>
      <c r="I20" s="6" t="s">
        <v>134</v>
      </c>
      <c r="J20" s="6" t="s">
        <v>135</v>
      </c>
      <c r="K20" s="8" t="n">
        <f aca="false">LEN(J20)-LEN(SUBSTITUTE(J20,";",""))+1</f>
        <v>2</v>
      </c>
    </row>
    <row r="21" customFormat="false" ht="46.25" hidden="false" customHeight="false" outlineLevel="0" collapsed="false">
      <c r="A21" s="5" t="s">
        <v>136</v>
      </c>
      <c r="B21" s="6" t="s">
        <v>137</v>
      </c>
      <c r="C21" s="12" t="s">
        <v>59</v>
      </c>
      <c r="D21" s="6" t="s">
        <v>138</v>
      </c>
      <c r="E21" s="5" t="s">
        <v>18</v>
      </c>
      <c r="F21" s="6" t="s">
        <v>139</v>
      </c>
      <c r="G21" s="6" t="s">
        <v>140</v>
      </c>
      <c r="H21" s="6" t="s">
        <v>141</v>
      </c>
      <c r="I21" s="6" t="s">
        <v>142</v>
      </c>
      <c r="J21" s="6" t="s">
        <v>143</v>
      </c>
      <c r="K21" s="8" t="n">
        <f aca="false">LEN(J21)-LEN(SUBSTITUTE(J21,";",""))+1</f>
        <v>3</v>
      </c>
    </row>
    <row r="22" customFormat="false" ht="35.05" hidden="false" customHeight="false" outlineLevel="0" collapsed="false">
      <c r="A22" s="5" t="s">
        <v>144</v>
      </c>
      <c r="B22" s="6" t="s">
        <v>145</v>
      </c>
      <c r="C22" s="7" t="s">
        <v>16</v>
      </c>
      <c r="D22" s="6" t="s">
        <v>146</v>
      </c>
      <c r="E22" s="5" t="s">
        <v>18</v>
      </c>
      <c r="F22" s="6" t="s">
        <v>147</v>
      </c>
      <c r="G22" s="6" t="s">
        <v>148</v>
      </c>
      <c r="H22" s="6" t="s">
        <v>149</v>
      </c>
      <c r="I22" s="6" t="s">
        <v>150</v>
      </c>
      <c r="J22" s="6" t="s">
        <v>151</v>
      </c>
      <c r="K22" s="8" t="n">
        <f aca="false">LEN(J22)-LEN(SUBSTITUTE(J22,";",""))+1</f>
        <v>2</v>
      </c>
    </row>
    <row r="23" customFormat="false" ht="68.65" hidden="false" customHeight="false" outlineLevel="0" collapsed="false">
      <c r="A23" s="5" t="s">
        <v>152</v>
      </c>
      <c r="B23" s="6" t="s">
        <v>153</v>
      </c>
      <c r="C23" s="9" t="s">
        <v>26</v>
      </c>
      <c r="D23" s="6" t="s">
        <v>154</v>
      </c>
      <c r="E23" s="5" t="s">
        <v>18</v>
      </c>
      <c r="F23" s="6" t="s">
        <v>155</v>
      </c>
      <c r="G23" s="6" t="s">
        <v>156</v>
      </c>
      <c r="H23" s="6" t="s">
        <v>157</v>
      </c>
      <c r="I23" s="6" t="s">
        <v>158</v>
      </c>
      <c r="J23" s="6" t="s">
        <v>159</v>
      </c>
      <c r="K23" s="8" t="n">
        <f aca="false">LEN(J23)-LEN(SUBSTITUTE(J23,";",""))+1</f>
        <v>3</v>
      </c>
    </row>
    <row r="24" customFormat="false" ht="35.05" hidden="false" customHeight="false" outlineLevel="0" collapsed="false">
      <c r="A24" s="5" t="s">
        <v>160</v>
      </c>
      <c r="B24" s="6" t="s">
        <v>161</v>
      </c>
      <c r="C24" s="9" t="s">
        <v>26</v>
      </c>
      <c r="D24" s="6" t="s">
        <v>162</v>
      </c>
      <c r="E24" s="5" t="s">
        <v>61</v>
      </c>
      <c r="F24" s="6" t="s">
        <v>163</v>
      </c>
      <c r="G24" s="6" t="s">
        <v>164</v>
      </c>
      <c r="H24" s="6" t="s">
        <v>165</v>
      </c>
      <c r="I24" s="6" t="s">
        <v>166</v>
      </c>
      <c r="J24" s="6" t="s">
        <v>167</v>
      </c>
      <c r="K24" s="8" t="n">
        <f aca="false">LEN(J24)-LEN(SUBSTITUTE(J24,";",""))+1</f>
        <v>2</v>
      </c>
    </row>
    <row r="25" customFormat="false" ht="46.25" hidden="false" customHeight="false" outlineLevel="0" collapsed="false">
      <c r="A25" s="5" t="s">
        <v>168</v>
      </c>
      <c r="B25" s="6" t="s">
        <v>169</v>
      </c>
      <c r="C25" s="9" t="s">
        <v>26</v>
      </c>
      <c r="D25" s="6" t="s">
        <v>170</v>
      </c>
      <c r="E25" s="5" t="s">
        <v>18</v>
      </c>
      <c r="F25" s="6" t="s">
        <v>171</v>
      </c>
      <c r="G25" s="6" t="s">
        <v>172</v>
      </c>
      <c r="H25" s="6" t="s">
        <v>173</v>
      </c>
      <c r="I25" s="6" t="s">
        <v>174</v>
      </c>
      <c r="J25" s="6" t="s">
        <v>175</v>
      </c>
      <c r="K25" s="8" t="n">
        <f aca="false">LEN(J25)-LEN(SUBSTITUTE(J25,";",""))+1</f>
        <v>3</v>
      </c>
    </row>
    <row r="26" customFormat="false" ht="21.75" hidden="false" customHeight="true" outlineLevel="0" collapsed="false">
      <c r="A26" s="13" t="s">
        <v>176</v>
      </c>
      <c r="B26" s="13"/>
      <c r="C26" s="13"/>
      <c r="D26" s="13"/>
      <c r="E26" s="13"/>
      <c r="F26" s="13"/>
      <c r="G26" s="13"/>
      <c r="H26" s="13"/>
      <c r="I26" s="13"/>
      <c r="J26" s="13"/>
      <c r="K26" s="14" t="n">
        <f aca="false">SUM(K6:K25)</f>
        <v>50</v>
      </c>
    </row>
    <row r="28" customFormat="false" ht="15" hidden="false" customHeight="false" outlineLevel="0" collapsed="false">
      <c r="A28" s="15" t="s">
        <v>177</v>
      </c>
      <c r="B28" s="15"/>
      <c r="C28" s="15"/>
      <c r="D28" s="15"/>
      <c r="E28" s="15"/>
      <c r="F28" s="15"/>
      <c r="G28" s="15"/>
      <c r="H28" s="15"/>
      <c r="I28" s="15"/>
      <c r="J28" s="15"/>
      <c r="K28" s="15"/>
    </row>
    <row r="29" customFormat="false" ht="15" hidden="false" customHeight="false" outlineLevel="0" collapsed="false">
      <c r="A29" s="16" t="s">
        <v>16</v>
      </c>
      <c r="B29" s="17" t="s">
        <v>178</v>
      </c>
      <c r="C29" s="17"/>
      <c r="D29" s="17"/>
      <c r="E29" s="17"/>
      <c r="F29" s="17"/>
      <c r="G29" s="17"/>
      <c r="H29" s="17"/>
      <c r="I29" s="17"/>
      <c r="J29" s="17"/>
      <c r="K29" s="17"/>
    </row>
    <row r="30" customFormat="false" ht="15" hidden="false" customHeight="false" outlineLevel="0" collapsed="false">
      <c r="A30" s="18" t="s">
        <v>26</v>
      </c>
      <c r="B30" s="17" t="s">
        <v>179</v>
      </c>
      <c r="C30" s="17"/>
      <c r="D30" s="17"/>
      <c r="E30" s="17"/>
      <c r="F30" s="17"/>
      <c r="G30" s="17"/>
      <c r="H30" s="17"/>
      <c r="I30" s="17"/>
      <c r="J30" s="17"/>
      <c r="K30" s="17"/>
    </row>
    <row r="31" customFormat="false" ht="15" hidden="false" customHeight="false" outlineLevel="0" collapsed="false">
      <c r="A31" s="19" t="s">
        <v>59</v>
      </c>
      <c r="B31" s="17" t="s">
        <v>180</v>
      </c>
      <c r="C31" s="17"/>
      <c r="D31" s="17"/>
      <c r="E31" s="17"/>
      <c r="F31" s="17"/>
      <c r="G31" s="17"/>
      <c r="H31" s="17"/>
      <c r="I31" s="17"/>
      <c r="J31" s="17"/>
      <c r="K31" s="17"/>
    </row>
    <row r="32" customFormat="false" ht="15" hidden="false" customHeight="false" outlineLevel="0" collapsed="false">
      <c r="A32" s="20" t="s">
        <v>35</v>
      </c>
      <c r="B32" s="17" t="s">
        <v>181</v>
      </c>
      <c r="C32" s="17"/>
      <c r="D32" s="17"/>
      <c r="E32" s="17"/>
      <c r="F32" s="17"/>
      <c r="G32" s="17"/>
      <c r="H32" s="17"/>
      <c r="I32" s="17"/>
      <c r="J32" s="17"/>
      <c r="K32" s="17"/>
    </row>
    <row r="33" customFormat="false" ht="15" hidden="false" customHeight="false" outlineLevel="0" collapsed="false">
      <c r="A33" s="21" t="s">
        <v>43</v>
      </c>
      <c r="B33" s="17" t="s">
        <v>182</v>
      </c>
      <c r="C33" s="17"/>
      <c r="D33" s="17"/>
      <c r="E33" s="17"/>
      <c r="F33" s="17"/>
      <c r="G33" s="17"/>
      <c r="H33" s="17"/>
      <c r="I33" s="17"/>
      <c r="J33" s="17"/>
      <c r="K33" s="17"/>
    </row>
  </sheetData>
  <mergeCells count="10">
    <mergeCell ref="A1:K1"/>
    <mergeCell ref="A2:K2"/>
    <mergeCell ref="A3:K3"/>
    <mergeCell ref="A26:J26"/>
    <mergeCell ref="A28:K28"/>
    <mergeCell ref="B29:K29"/>
    <mergeCell ref="B30:K30"/>
    <mergeCell ref="B31:K31"/>
    <mergeCell ref="B32:K32"/>
    <mergeCell ref="B33:K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2026-09-16T11:54:43Z</dcterms:created>
  <dc:creator>openpyxl</dc:creator>
  <dc:description/>
  <dc:language>en-US</dc:language>
  <cp:lastModifiedBy/>
  <dcterms:modified xsi:type="dcterms:W3CDTF">2026-09-16T11:54:43Z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